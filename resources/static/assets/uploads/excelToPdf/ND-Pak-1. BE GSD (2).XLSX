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bookViews>
    <workbookView xWindow="0" yWindow="500" windowWidth="28800" windowHeight="16180" activeTab="1"/>
  </bookViews>
  <sheets>
    <sheet name="BH-1, SPT-2, D-2" sheetId="14" r:id="rId1"/>
    <sheet name="BH-1, SPT-2, D-2 (2)" sheetId="15" r:id="rId2"/>
  </sheets>
  <definedNames>
    <definedName name="_xlnm.Print_Area" localSheetId="0">'BH-1, SPT-2, D-2'!#REF!</definedName>
    <definedName name="_xlnm.Print_Area" localSheetId="1">'BH-1, SPT-2, D-2 (2)'!#REF!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0" i="15" l="1"/>
  <c r="F9" i="15"/>
  <c r="F8" i="15"/>
  <c r="F7" i="15"/>
  <c r="F6" i="15"/>
  <c r="C10" i="15"/>
  <c r="C9" i="15"/>
  <c r="C8" i="15"/>
  <c r="C7" i="15"/>
  <c r="C6" i="15"/>
  <c r="F6" i="14"/>
  <c r="F7" i="14"/>
  <c r="F8" i="14"/>
  <c r="F9" i="14"/>
  <c r="F10" i="14"/>
  <c r="C10" i="14"/>
  <c r="C9" i="14"/>
  <c r="C8" i="14"/>
  <c r="C7" i="14"/>
  <c r="C6" i="14"/>
</calcChain>
</file>

<file path=xl/sharedStrings.xml><?xml version="1.0" encoding="utf-8"?>
<sst xmlns="http://schemas.openxmlformats.org/spreadsheetml/2006/main" count="38" uniqueCount="19">
  <si>
    <t>Sieve Number</t>
  </si>
  <si>
    <t>Soil Retained (g)</t>
  </si>
  <si>
    <t>#4</t>
  </si>
  <si>
    <t>#10</t>
  </si>
  <si>
    <t>#40</t>
  </si>
  <si>
    <t>#200</t>
  </si>
  <si>
    <t>Pan</t>
  </si>
  <si>
    <t>TOTAL:</t>
  </si>
  <si>
    <t>Diameter   (mm)</t>
  </si>
  <si>
    <t>Mass of Sieve (g)</t>
  </si>
  <si>
    <t>2"</t>
  </si>
  <si>
    <t>1"</t>
  </si>
  <si>
    <t>3/4"</t>
  </si>
  <si>
    <t>1/2"</t>
  </si>
  <si>
    <t>3/8"</t>
  </si>
  <si>
    <t>#16</t>
  </si>
  <si>
    <t>#100</t>
  </si>
  <si>
    <t>Mass of Sieve + Soil (g)</t>
  </si>
  <si>
    <t>Total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</si>
</sst>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name val="Georgia"/>
      <family val="1"/>
    </font>
    <font>
      <b/>
      <sz val="10"/>
      <name val="Georgia"/>
      <family val="1"/>
    </font>
    <font>
      <sz val="10"/>
      <color indexed="12"/>
      <name val="Georgia"/>
      <family val="1"/>
    </font>
    <font>
      <sz val="10"/>
      <color indexed="10"/>
      <name val="Georgia"/>
      <family val="1"/>
    </font>
    <font>
      <sz val="10"/>
      <color rgb="FFFF0000"/>
      <name val="Georgia"/>
      <family val="1"/>
    </font>
    <font>
      <b/>
      <sz val="10"/>
      <color indexed="10"/>
      <name val="Georgia"/>
      <family val="1"/>
    </font>
    <font>
      <b/>
      <sz val="8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center" vertical="center"/>
    </xf>
    <xf numFmtId="0" fontId="8" fillId="0" borderId="0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9" xfId="0" quotePrefix="1" applyFont="1" applyBorder="1" applyAlignment="1">
      <alignment horizontal="center" vertical="center" wrapText="1"/>
    </xf>
    <xf numFmtId="0" fontId="8" fillId="0" borderId="8" xfId="0" quotePrefix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0" xfId="0" quotePrefix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4"/>
  <sheetViews>
    <sheetView topLeftCell="A4" zoomScalePageLayoutView="115" workbookViewId="0">
      <selection activeCell="F10" sqref="F10"/>
    </sheetView>
  </sheetViews>
  <sheetFormatPr baseColWidth="10" defaultColWidth="12" defaultRowHeight="19.75" customHeight="1" x14ac:dyDescent="0.15"/>
  <cols>
    <col min="1" max="3" width="12" style="1"/>
    <col min="4" max="5" width="0" style="1" hidden="1" customWidth="1"/>
    <col min="6" max="16384" width="12" style="1"/>
  </cols>
  <sheetData>
    <row r="1" spans="2:9" s="20" customFormat="1" ht="18" customHeight="1" x14ac:dyDescent="0.15">
      <c r="F1" s="28" t="s">
        <v>18</v>
      </c>
      <c r="G1" s="28"/>
      <c r="H1" s="18">
        <v>100</v>
      </c>
    </row>
    <row r="2" spans="2:9" s="20" customFormat="1" ht="18" customHeight="1" x14ac:dyDescent="0.15"/>
    <row r="3" spans="2:9" s="20" customFormat="1" ht="18" customHeight="1" x14ac:dyDescent="0.15"/>
    <row r="4" spans="2:9" s="20" customFormat="1" ht="13.5" customHeight="1" x14ac:dyDescent="0.15">
      <c r="B4" s="27" t="s">
        <v>0</v>
      </c>
      <c r="C4" s="27" t="s">
        <v>8</v>
      </c>
      <c r="D4" s="29" t="s">
        <v>9</v>
      </c>
      <c r="E4" s="31" t="s">
        <v>17</v>
      </c>
      <c r="F4" s="27" t="s">
        <v>1</v>
      </c>
      <c r="G4" s="33"/>
      <c r="H4" s="26"/>
      <c r="I4" s="2"/>
    </row>
    <row r="5" spans="2:9" s="20" customFormat="1" ht="10.5" customHeight="1" x14ac:dyDescent="0.15">
      <c r="B5" s="27"/>
      <c r="C5" s="27"/>
      <c r="D5" s="30"/>
      <c r="E5" s="32"/>
      <c r="F5" s="27"/>
      <c r="G5" s="33"/>
      <c r="H5" s="26"/>
      <c r="I5" s="2"/>
    </row>
    <row r="6" spans="2:9" ht="17.25" customHeight="1" x14ac:dyDescent="0.15">
      <c r="B6" s="12" t="s">
        <v>10</v>
      </c>
      <c r="C6" s="13">
        <f>2*25.4</f>
        <v>50.8</v>
      </c>
      <c r="D6" s="14"/>
      <c r="E6" s="14"/>
      <c r="F6" s="16">
        <f>E6-D6</f>
        <v>0</v>
      </c>
      <c r="G6" s="22"/>
      <c r="H6" s="23"/>
      <c r="I6" s="6"/>
    </row>
    <row r="7" spans="2:9" s="20" customFormat="1" ht="18" customHeight="1" x14ac:dyDescent="0.15">
      <c r="B7" s="9" t="s">
        <v>11</v>
      </c>
      <c r="C7" s="13">
        <f>1*25.4</f>
        <v>25.4</v>
      </c>
      <c r="D7" s="4"/>
      <c r="E7" s="4"/>
      <c r="F7" s="17">
        <f>E7-D7</f>
        <v>0</v>
      </c>
      <c r="G7" s="22"/>
      <c r="H7" s="23"/>
      <c r="I7" s="2"/>
    </row>
    <row r="8" spans="2:9" s="20" customFormat="1" ht="24" customHeight="1" x14ac:dyDescent="0.15">
      <c r="B8" s="9" t="s">
        <v>12</v>
      </c>
      <c r="C8" s="13">
        <f>(3/4)*25.4</f>
        <v>19.049999999999997</v>
      </c>
      <c r="D8" s="4"/>
      <c r="E8" s="4"/>
      <c r="F8" s="17">
        <f>E8-D8</f>
        <v>0</v>
      </c>
      <c r="G8" s="22"/>
      <c r="H8" s="23"/>
      <c r="I8" s="2"/>
    </row>
    <row r="9" spans="2:9" ht="25.5" customHeight="1" x14ac:dyDescent="0.15">
      <c r="B9" s="9" t="s">
        <v>13</v>
      </c>
      <c r="C9" s="13">
        <f>(1/2)*25.4</f>
        <v>12.7</v>
      </c>
      <c r="D9" s="4"/>
      <c r="E9" s="4"/>
      <c r="F9" s="17">
        <f>E9-D9</f>
        <v>0</v>
      </c>
      <c r="G9" s="22"/>
      <c r="H9" s="23"/>
      <c r="I9" s="6"/>
    </row>
    <row r="10" spans="2:9" s="3" customFormat="1" ht="18" customHeight="1" x14ac:dyDescent="0.15">
      <c r="B10" s="9" t="s">
        <v>14</v>
      </c>
      <c r="C10" s="13">
        <f>(3/8)*25.4</f>
        <v>9.5249999999999986</v>
      </c>
      <c r="D10" s="4"/>
      <c r="E10" s="4"/>
      <c r="F10" s="17">
        <f>E10-D10</f>
        <v>0</v>
      </c>
      <c r="G10" s="22"/>
      <c r="H10" s="23"/>
      <c r="I10" s="7"/>
    </row>
    <row r="11" spans="2:9" ht="18" customHeight="1" x14ac:dyDescent="0.15">
      <c r="B11" s="9" t="s">
        <v>2</v>
      </c>
      <c r="C11" s="8">
        <v>4.75</v>
      </c>
      <c r="D11" s="4"/>
      <c r="E11" s="4"/>
      <c r="F11" s="17">
        <v>4</v>
      </c>
      <c r="G11" s="22"/>
      <c r="H11" s="23"/>
      <c r="I11" s="6"/>
    </row>
    <row r="12" spans="2:9" ht="18" customHeight="1" x14ac:dyDescent="0.15">
      <c r="B12" s="9" t="s">
        <v>3</v>
      </c>
      <c r="C12" s="8">
        <v>2</v>
      </c>
      <c r="D12" s="4"/>
      <c r="E12" s="4"/>
      <c r="F12" s="17">
        <v>4</v>
      </c>
      <c r="G12" s="22"/>
      <c r="H12" s="23"/>
      <c r="I12" s="6"/>
    </row>
    <row r="13" spans="2:9" ht="18" customHeight="1" x14ac:dyDescent="0.15">
      <c r="B13" s="9" t="s">
        <v>15</v>
      </c>
      <c r="C13" s="8">
        <v>1.18</v>
      </c>
      <c r="D13" s="4"/>
      <c r="E13" s="4"/>
      <c r="F13" s="17">
        <v>4</v>
      </c>
      <c r="G13" s="22"/>
      <c r="H13" s="23"/>
      <c r="I13" s="6"/>
    </row>
    <row r="14" spans="2:9" ht="18" customHeight="1" x14ac:dyDescent="0.15">
      <c r="B14" s="9" t="s">
        <v>4</v>
      </c>
      <c r="C14" s="8">
        <v>0.42499999999999999</v>
      </c>
      <c r="D14" s="4"/>
      <c r="E14" s="4"/>
      <c r="F14" s="17">
        <v>4</v>
      </c>
      <c r="G14" s="22"/>
      <c r="H14" s="23"/>
      <c r="I14" s="6"/>
    </row>
    <row r="15" spans="2:9" ht="18" customHeight="1" x14ac:dyDescent="0.15">
      <c r="B15" s="9" t="s">
        <v>16</v>
      </c>
      <c r="C15" s="8">
        <v>0.15</v>
      </c>
      <c r="D15" s="4"/>
      <c r="E15" s="4"/>
      <c r="F15" s="17">
        <v>4</v>
      </c>
      <c r="G15" s="22"/>
      <c r="H15" s="23"/>
      <c r="I15" s="6"/>
    </row>
    <row r="16" spans="2:9" ht="18" customHeight="1" thickBot="1" x14ac:dyDescent="0.2">
      <c r="B16" s="10" t="s">
        <v>5</v>
      </c>
      <c r="C16" s="11">
        <v>7.4999999999999997E-2</v>
      </c>
      <c r="D16" s="4"/>
      <c r="E16" s="4"/>
      <c r="F16" s="17">
        <v>4</v>
      </c>
      <c r="G16" s="22"/>
      <c r="H16" s="23"/>
      <c r="I16" s="6"/>
    </row>
    <row r="17" spans="2:10" ht="18" customHeight="1" thickBot="1" x14ac:dyDescent="0.2">
      <c r="B17" s="10" t="s">
        <v>6</v>
      </c>
      <c r="C17" s="11"/>
      <c r="F17" s="17"/>
      <c r="G17" s="22"/>
      <c r="H17" s="23"/>
      <c r="I17" s="24"/>
      <c r="J17" s="19"/>
    </row>
    <row r="18" spans="2:10" ht="18" customHeight="1" thickBot="1" x14ac:dyDescent="0.2">
      <c r="C18" s="5" t="s">
        <v>7</v>
      </c>
      <c r="F18" s="15"/>
      <c r="G18" s="25"/>
      <c r="H18" s="6"/>
      <c r="I18" s="6"/>
    </row>
    <row r="19" spans="2:10" ht="18" customHeight="1" x14ac:dyDescent="0.15"/>
    <row r="20" spans="2:10" ht="18" customHeight="1" x14ac:dyDescent="0.15"/>
    <row r="21" spans="2:10" ht="18" customHeight="1" x14ac:dyDescent="0.15"/>
    <row r="22" spans="2:10" ht="18" customHeight="1" x14ac:dyDescent="0.15"/>
    <row r="23" spans="2:10" ht="18" customHeight="1" x14ac:dyDescent="0.15"/>
    <row r="24" spans="2:10" ht="18" customHeight="1" x14ac:dyDescent="0.15"/>
    <row r="25" spans="2:10" ht="18" customHeight="1" x14ac:dyDescent="0.15"/>
    <row r="26" spans="2:10" ht="18" customHeight="1" x14ac:dyDescent="0.15"/>
    <row r="27" spans="2:10" ht="18" customHeight="1" x14ac:dyDescent="0.15"/>
    <row r="28" spans="2:10" ht="18" customHeight="1" x14ac:dyDescent="0.15"/>
    <row r="29" spans="2:10" ht="18" customHeight="1" x14ac:dyDescent="0.15"/>
    <row r="30" spans="2:10" ht="14.25" customHeight="1" x14ac:dyDescent="0.15"/>
    <row r="31" spans="2:10" ht="14.25" customHeight="1" x14ac:dyDescent="0.15"/>
    <row r="32" spans="2:10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</sheetData>
  <mergeCells count="8">
    <mergeCell ref="H4:H5"/>
    <mergeCell ref="F4:F5"/>
    <mergeCell ref="F1:G1"/>
    <mergeCell ref="B4:B5"/>
    <mergeCell ref="C4:C5"/>
    <mergeCell ref="D4:D5"/>
    <mergeCell ref="E4:E5"/>
    <mergeCell ref="G4:G5"/>
  </mergeCells>
  <printOptions horizontalCentered="1"/>
  <pageMargins left="0.75" right="0.5" top="0.5" bottom="0.75" header="0.3" footer="0.3"/>
  <pageSetup paperSize="9" scale="99" orientation="landscape" horizontalDpi="4294967292" verticalDpi="4294967292" r:id="rId1"/>
  <headerFooter>
    <oddFooter>&amp;R&amp;"Georgia,Regular"For info and queries, please call @ &amp;"Georgia,Italic"&amp;K03+000+92 30 66 666 010&amp;"Georgia,Regular"&amp;K000000  or email @ &amp;"Georgia,Italic"&amp;K03+000birudo-eng@outlook.com</oddFooter>
  </headerFooter>
  <rowBreaks count="1" manualBreakCount="1">
    <brk id="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4"/>
  <sheetViews>
    <sheetView tabSelected="1" zoomScalePageLayoutView="115" workbookViewId="0">
      <selection activeCell="H24" sqref="A1:XFD1048576"/>
    </sheetView>
  </sheetViews>
  <sheetFormatPr baseColWidth="10" defaultColWidth="12" defaultRowHeight="19.75" customHeight="1" x14ac:dyDescent="0.15"/>
  <cols>
    <col min="1" max="3" width="12" style="1"/>
    <col min="4" max="5" width="0" style="1" hidden="1" customWidth="1"/>
    <col min="6" max="16384" width="12" style="1"/>
  </cols>
  <sheetData>
    <row r="1" spans="2:9" s="21" customFormat="1" ht="18" customHeight="1" x14ac:dyDescent="0.15">
      <c r="F1" s="28" t="s">
        <v>18</v>
      </c>
      <c r="G1" s="28"/>
      <c r="H1" s="18">
        <v>100</v>
      </c>
    </row>
    <row r="2" spans="2:9" s="21" customFormat="1" ht="18" customHeight="1" x14ac:dyDescent="0.15"/>
    <row r="3" spans="2:9" s="21" customFormat="1" ht="18" customHeight="1" x14ac:dyDescent="0.15"/>
    <row r="4" spans="2:9" s="21" customFormat="1" ht="13.5" customHeight="1" x14ac:dyDescent="0.15">
      <c r="B4" s="27" t="s">
        <v>0</v>
      </c>
      <c r="C4" s="27" t="s">
        <v>8</v>
      </c>
      <c r="D4" s="29" t="s">
        <v>9</v>
      </c>
      <c r="E4" s="31" t="s">
        <v>17</v>
      </c>
      <c r="F4" s="27" t="s">
        <v>1</v>
      </c>
      <c r="G4" s="33"/>
      <c r="H4" s="26"/>
      <c r="I4" s="2"/>
    </row>
    <row r="5" spans="2:9" s="21" customFormat="1" ht="10.5" customHeight="1" x14ac:dyDescent="0.15">
      <c r="B5" s="27"/>
      <c r="C5" s="27"/>
      <c r="D5" s="30"/>
      <c r="E5" s="32"/>
      <c r="F5" s="27"/>
      <c r="G5" s="33"/>
      <c r="H5" s="26"/>
      <c r="I5" s="2"/>
    </row>
    <row r="6" spans="2:9" ht="17.25" customHeight="1" x14ac:dyDescent="0.15">
      <c r="B6" s="12" t="s">
        <v>10</v>
      </c>
      <c r="C6" s="13">
        <f>2*25.4</f>
        <v>50.8</v>
      </c>
      <c r="D6" s="14"/>
      <c r="E6" s="14"/>
      <c r="F6" s="16">
        <f>E6-D6</f>
        <v>0</v>
      </c>
      <c r="G6" s="22"/>
      <c r="H6" s="23"/>
      <c r="I6" s="6"/>
    </row>
    <row r="7" spans="2:9" s="21" customFormat="1" ht="18" customHeight="1" x14ac:dyDescent="0.15">
      <c r="B7" s="9" t="s">
        <v>11</v>
      </c>
      <c r="C7" s="13">
        <f>1*25.4</f>
        <v>25.4</v>
      </c>
      <c r="D7" s="4"/>
      <c r="E7" s="4"/>
      <c r="F7" s="17">
        <f>E7-D7</f>
        <v>0</v>
      </c>
      <c r="G7" s="22"/>
      <c r="H7" s="23"/>
      <c r="I7" s="2"/>
    </row>
    <row r="8" spans="2:9" s="21" customFormat="1" ht="24" customHeight="1" x14ac:dyDescent="0.15">
      <c r="B8" s="9" t="s">
        <v>12</v>
      </c>
      <c r="C8" s="13">
        <f>(3/4)*25.4</f>
        <v>19.049999999999997</v>
      </c>
      <c r="D8" s="4"/>
      <c r="E8" s="4"/>
      <c r="F8" s="17">
        <f>E8-D8</f>
        <v>0</v>
      </c>
      <c r="G8" s="22"/>
      <c r="H8" s="23"/>
      <c r="I8" s="2"/>
    </row>
    <row r="9" spans="2:9" ht="25.5" customHeight="1" x14ac:dyDescent="0.15">
      <c r="B9" s="9" t="s">
        <v>13</v>
      </c>
      <c r="C9" s="13">
        <f>(1/2)*25.4</f>
        <v>12.7</v>
      </c>
      <c r="D9" s="4"/>
      <c r="E9" s="4"/>
      <c r="F9" s="17">
        <f>E9-D9</f>
        <v>0</v>
      </c>
      <c r="G9" s="22"/>
      <c r="H9" s="23"/>
      <c r="I9" s="6"/>
    </row>
    <row r="10" spans="2:9" s="3" customFormat="1" ht="18" customHeight="1" x14ac:dyDescent="0.15">
      <c r="B10" s="9" t="s">
        <v>14</v>
      </c>
      <c r="C10" s="13">
        <f>(3/8)*25.4</f>
        <v>9.5249999999999986</v>
      </c>
      <c r="D10" s="4"/>
      <c r="E10" s="4"/>
      <c r="F10" s="17">
        <f>E10-D10</f>
        <v>0</v>
      </c>
      <c r="G10" s="22"/>
      <c r="H10" s="23"/>
      <c r="I10" s="7"/>
    </row>
    <row r="11" spans="2:9" ht="18" customHeight="1" x14ac:dyDescent="0.15">
      <c r="B11" s="9" t="s">
        <v>2</v>
      </c>
      <c r="C11" s="8">
        <v>4.75</v>
      </c>
      <c r="D11" s="4"/>
      <c r="E11" s="4"/>
      <c r="F11" s="17">
        <v>91</v>
      </c>
      <c r="G11" s="22"/>
      <c r="H11" s="23"/>
      <c r="I11" s="6"/>
    </row>
    <row r="12" spans="2:9" ht="18" customHeight="1" x14ac:dyDescent="0.15">
      <c r="B12" s="9" t="s">
        <v>3</v>
      </c>
      <c r="C12" s="8">
        <v>2</v>
      </c>
      <c r="D12" s="4"/>
      <c r="E12" s="4"/>
      <c r="F12" s="17">
        <v>91</v>
      </c>
      <c r="G12" s="22"/>
      <c r="H12" s="23"/>
      <c r="I12" s="6"/>
    </row>
    <row r="13" spans="2:9" ht="18" customHeight="1" x14ac:dyDescent="0.15">
      <c r="B13" s="9" t="s">
        <v>15</v>
      </c>
      <c r="C13" s="8">
        <v>1.18</v>
      </c>
      <c r="D13" s="4"/>
      <c r="E13" s="4"/>
      <c r="F13" s="17">
        <v>91</v>
      </c>
      <c r="G13" s="22"/>
      <c r="H13" s="23"/>
      <c r="I13" s="6"/>
    </row>
    <row r="14" spans="2:9" ht="18" customHeight="1" x14ac:dyDescent="0.15">
      <c r="B14" s="9" t="s">
        <v>4</v>
      </c>
      <c r="C14" s="8">
        <v>0.42499999999999999</v>
      </c>
      <c r="D14" s="4"/>
      <c r="E14" s="4"/>
      <c r="F14" s="17">
        <v>91</v>
      </c>
      <c r="G14" s="22"/>
      <c r="H14" s="23"/>
      <c r="I14" s="6"/>
    </row>
    <row r="15" spans="2:9" ht="18" customHeight="1" x14ac:dyDescent="0.15">
      <c r="B15" s="9" t="s">
        <v>16</v>
      </c>
      <c r="C15" s="8">
        <v>0.15</v>
      </c>
      <c r="D15" s="4"/>
      <c r="E15" s="4"/>
      <c r="F15" s="17">
        <v>91</v>
      </c>
      <c r="G15" s="22"/>
      <c r="H15" s="23"/>
      <c r="I15" s="6"/>
    </row>
    <row r="16" spans="2:9" ht="18" customHeight="1" thickBot="1" x14ac:dyDescent="0.2">
      <c r="B16" s="10" t="s">
        <v>5</v>
      </c>
      <c r="C16" s="11">
        <v>7.4999999999999997E-2</v>
      </c>
      <c r="D16" s="4"/>
      <c r="E16" s="4"/>
      <c r="F16" s="17">
        <v>91</v>
      </c>
      <c r="G16" s="22"/>
      <c r="H16" s="23"/>
      <c r="I16" s="6"/>
    </row>
    <row r="17" spans="2:10" ht="18" customHeight="1" thickBot="1" x14ac:dyDescent="0.2">
      <c r="B17" s="10" t="s">
        <v>6</v>
      </c>
      <c r="C17" s="11"/>
      <c r="F17" s="17"/>
      <c r="G17" s="22"/>
      <c r="H17" s="23"/>
      <c r="I17" s="24"/>
      <c r="J17" s="19"/>
    </row>
    <row r="18" spans="2:10" ht="18" customHeight="1" thickBot="1" x14ac:dyDescent="0.2">
      <c r="C18" s="5" t="s">
        <v>7</v>
      </c>
      <c r="F18" s="15"/>
      <c r="G18" s="25"/>
      <c r="H18" s="6"/>
      <c r="I18" s="6"/>
    </row>
    <row r="19" spans="2:10" ht="18" customHeight="1" x14ac:dyDescent="0.15"/>
    <row r="20" spans="2:10" ht="18" customHeight="1" x14ac:dyDescent="0.15"/>
    <row r="21" spans="2:10" ht="18" customHeight="1" x14ac:dyDescent="0.15"/>
    <row r="22" spans="2:10" ht="18" customHeight="1" x14ac:dyDescent="0.15"/>
    <row r="23" spans="2:10" ht="18" customHeight="1" x14ac:dyDescent="0.15"/>
    <row r="24" spans="2:10" ht="18" customHeight="1" x14ac:dyDescent="0.15"/>
    <row r="25" spans="2:10" ht="18" customHeight="1" x14ac:dyDescent="0.15"/>
    <row r="26" spans="2:10" ht="18" customHeight="1" x14ac:dyDescent="0.15"/>
    <row r="27" spans="2:10" ht="18" customHeight="1" x14ac:dyDescent="0.15"/>
    <row r="28" spans="2:10" ht="18" customHeight="1" x14ac:dyDescent="0.15"/>
    <row r="29" spans="2:10" ht="18" customHeight="1" x14ac:dyDescent="0.15"/>
    <row r="30" spans="2:10" ht="14.25" customHeight="1" x14ac:dyDescent="0.15"/>
    <row r="31" spans="2:10" ht="14.25" customHeight="1" x14ac:dyDescent="0.15"/>
    <row r="32" spans="2:10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</sheetData>
  <mergeCells count="8">
    <mergeCell ref="H4:H5"/>
    <mergeCell ref="F1:G1"/>
    <mergeCell ref="B4:B5"/>
    <mergeCell ref="C4:C5"/>
    <mergeCell ref="D4:D5"/>
    <mergeCell ref="E4:E5"/>
    <mergeCell ref="F4:F5"/>
    <mergeCell ref="G4:G5"/>
  </mergeCells>
  <printOptions horizontalCentered="1"/>
  <pageMargins left="0.75" right="0.5" top="0.5" bottom="0.75" header="0.3" footer="0.3"/>
  <pageSetup paperSize="9" scale="99" orientation="landscape" horizontalDpi="4294967292" verticalDpi="4294967292" r:id="rId1"/>
  <headerFooter>
    <oddFooter>&amp;R&amp;"Georgia,Regular"For info and queries, please call @ &amp;"Georgia,Italic"&amp;K03+000+92 30 66 666 010&amp;"Georgia,Regular"&amp;K000000  or email @ &amp;"Georgia,Italic"&amp;K03+000birudo-eng@outlook.com</oddFooter>
  </headerFooter>
  <rowBreaks count="1" manualBreakCount="1">
    <brk id="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BH-1, SPT-2, D-2</vt:lpstr>
      <vt:lpstr>BH-1, SPT-2, D-2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Muhammad Irfan</dc:creator>
  <cp:lastModifiedBy>Microsoft Office User</cp:lastModifiedBy>
  <cp:lastPrinted>2016-10-18T14:34:20Z</cp:lastPrinted>
  <dcterms:created xsi:type="dcterms:W3CDTF">2013-02-04T20:38:04Z</dcterms:created>
  <dcterms:modified xsi:type="dcterms:W3CDTF">2022-10-14T09:41:08Z</dcterms:modified>
</cp:coreProperties>
</file>